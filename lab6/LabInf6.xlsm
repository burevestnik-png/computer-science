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peci\Desktop\MicOff\"/>
    </mc:Choice>
  </mc:AlternateContent>
  <xr:revisionPtr revIDLastSave="0" documentId="13_ncr:1_{5F78FC1A-02AE-4768-AE7E-48A08C1931F3}" xr6:coauthVersionLast="45" xr6:coauthVersionMax="45" xr10:uidLastSave="{00000000-0000-0000-0000-000000000000}"/>
  <bookViews>
    <workbookView xWindow="-108" yWindow="-108" windowWidth="23256" windowHeight="13176" firstSheet="2" activeTab="7" xr2:uid="{00000000-000D-0000-FFFF-FFFF00000000}"/>
  </bookViews>
  <sheets>
    <sheet name="Диаграмма1" sheetId="3" state="hidden" r:id="rId1"/>
    <sheet name="Диаграмма2" sheetId="4" state="hidden" r:id="rId2"/>
    <sheet name="Формула" sheetId="1" r:id="rId3"/>
    <sheet name="Справочник предприятия" sheetId="5" r:id="rId4"/>
    <sheet name="Расчёт сметы" sheetId="6" r:id="rId5"/>
    <sheet name="Диаграмма" sheetId="7" r:id="rId6"/>
    <sheet name="Горные пики" sheetId="8" r:id="rId7"/>
    <sheet name="ВПР1" sheetId="9" r:id="rId8"/>
    <sheet name="ВПР2" sheetId="10" r:id="rId9"/>
    <sheet name="МАКРОС1" sheetId="11" r:id="rId10"/>
    <sheet name="МАКРОС2" sheetId="12" r:id="rId11"/>
    <sheet name="МАКРОС3" sheetId="13" r:id="rId12"/>
    <sheet name="МАКРОС4" sheetId="14" r:id="rId13"/>
    <sheet name="МАКРОС5" sheetId="15" r:id="rId14"/>
    <sheet name="МАКРОС6" sheetId="16" r:id="rId15"/>
    <sheet name="МАКРОС7" sheetId="17" r:id="rId16"/>
  </sheets>
  <definedNames>
    <definedName name="_xlnm._FilterDatabase" localSheetId="6" hidden="1">'Горные пики'!$A$1:$I$16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I5" i="6"/>
  <c r="I6" i="6"/>
  <c r="F12" i="6"/>
  <c r="F11" i="6"/>
  <c r="F10" i="6"/>
  <c r="F9" i="6"/>
  <c r="F4" i="6"/>
  <c r="F5" i="6"/>
  <c r="F6" i="6"/>
  <c r="F7" i="6"/>
  <c r="F3" i="6"/>
  <c r="C14" i="9" l="1"/>
  <c r="C14" i="1"/>
  <c r="C15" i="1"/>
  <c r="C16" i="1"/>
  <c r="C17" i="1"/>
  <c r="C18" i="1"/>
  <c r="C19" i="1"/>
  <c r="C20" i="1"/>
  <c r="C21" i="1"/>
  <c r="C22" i="1"/>
  <c r="C23" i="1"/>
  <c r="C24" i="1"/>
  <c r="C25" i="1"/>
  <c r="C13" i="1"/>
  <c r="B14" i="1"/>
  <c r="B15" i="1"/>
  <c r="B16" i="1"/>
  <c r="B17" i="1"/>
  <c r="B18" i="1"/>
  <c r="B19" i="1"/>
  <c r="B20" i="1"/>
  <c r="B21" i="1"/>
  <c r="B22" i="1"/>
  <c r="B23" i="1"/>
  <c r="B24" i="1"/>
  <c r="B25" i="1"/>
  <c r="B13" i="1"/>
  <c r="B28" i="1" l="1"/>
  <c r="F8" i="6"/>
  <c r="F13" i="6" s="1"/>
  <c r="C28" i="1"/>
  <c r="B26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14" i="1"/>
  <c r="A13" i="1"/>
  <c r="C26" i="1" l="1"/>
  <c r="C27" i="1"/>
  <c r="B27" i="1"/>
</calcChain>
</file>

<file path=xl/sharedStrings.xml><?xml version="1.0" encoding="utf-8"?>
<sst xmlns="http://schemas.openxmlformats.org/spreadsheetml/2006/main" count="276" uniqueCount="146">
  <si>
    <t>Минимальное значение аргумента:</t>
  </si>
  <si>
    <t>Максимальное значение аргумента:</t>
  </si>
  <si>
    <t>Шаг изменения аргумента:</t>
  </si>
  <si>
    <t>Искомое значение:</t>
  </si>
  <si>
    <t>Расчет выражения в заданном интервале:</t>
  </si>
  <si>
    <t xml:space="preserve">16 вариант </t>
  </si>
  <si>
    <t>4 формула</t>
  </si>
  <si>
    <t>при А = 100</t>
  </si>
  <si>
    <t>при А = 120</t>
  </si>
  <si>
    <t>Аргумент Х</t>
  </si>
  <si>
    <t>Максимальное значение выражения</t>
  </si>
  <si>
    <t>Минимальное значение выражения</t>
  </si>
  <si>
    <t>Количество исходных значений</t>
  </si>
  <si>
    <t>Значение выражения Y</t>
  </si>
  <si>
    <t>Параметр</t>
  </si>
  <si>
    <t>Значение</t>
  </si>
  <si>
    <t>Название</t>
  </si>
  <si>
    <t>Директор</t>
  </si>
  <si>
    <t>Сметчик</t>
  </si>
  <si>
    <t>Рентабельность</t>
  </si>
  <si>
    <t>Транспортные расходы</t>
  </si>
  <si>
    <t>Накладные расходы</t>
  </si>
  <si>
    <t>НДС</t>
  </si>
  <si>
    <t>"НОВЫЙ ВЕК"</t>
  </si>
  <si>
    <t>Семёнова А.Н.</t>
  </si>
  <si>
    <t>Кудрин В.В.</t>
  </si>
  <si>
    <t>Смета на проведения работ</t>
  </si>
  <si>
    <t>№ п/п</t>
  </si>
  <si>
    <t>Наименование работы</t>
  </si>
  <si>
    <t>Ед. изм</t>
  </si>
  <si>
    <t>Кол-во</t>
  </si>
  <si>
    <t>Стоимость ед., руб</t>
  </si>
  <si>
    <t>Общая стоимость</t>
  </si>
  <si>
    <t>Итого прямых затрат:</t>
  </si>
  <si>
    <t>Смету составил:</t>
  </si>
  <si>
    <t>Смету проверил:</t>
  </si>
  <si>
    <t>Дата: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</si>
  <si>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</si>
  <si>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погонный метр</t>
  </si>
  <si>
    <t>Транспортные расходы:</t>
  </si>
  <si>
    <t>Рентабельность:</t>
  </si>
  <si>
    <t>Накладные расходы:</t>
  </si>
  <si>
    <t>НДС:</t>
  </si>
  <si>
    <t>Итого:</t>
  </si>
  <si>
    <t>%</t>
  </si>
  <si>
    <t>Диаграмма</t>
  </si>
  <si>
    <t>Подготовка помещения</t>
  </si>
  <si>
    <t>Прокладка электролиний</t>
  </si>
  <si>
    <t>Покраска стен</t>
  </si>
  <si>
    <t>Перекраска стен</t>
  </si>
  <si>
    <t>Уборка помещения</t>
  </si>
  <si>
    <t>Номер</t>
  </si>
  <si>
    <t>Часть света</t>
  </si>
  <si>
    <t>Страна</t>
  </si>
  <si>
    <t>Диапазон высоты</t>
  </si>
  <si>
    <t>Высота</t>
  </si>
  <si>
    <t>Первый восходитель</t>
  </si>
  <si>
    <t>Год первого восхождения</t>
  </si>
  <si>
    <t>Джомолунгма</t>
  </si>
  <si>
    <t>восьмитысячники</t>
  </si>
  <si>
    <t>Китай</t>
  </si>
  <si>
    <t>Азия</t>
  </si>
  <si>
    <t>Джон Хант</t>
  </si>
  <si>
    <t>Манаслу </t>
  </si>
  <si>
    <t>Непал</t>
  </si>
  <si>
    <t>Тосио Иманиси</t>
  </si>
  <si>
    <t>Аннапурна </t>
  </si>
  <si>
    <t>Луи Лашеналя</t>
  </si>
  <si>
    <t>Хималчули </t>
  </si>
  <si>
    <t>семитысячники</t>
  </si>
  <si>
    <t>Масахиро Харада</t>
  </si>
  <si>
    <t>Чомолонзо</t>
  </si>
  <si>
    <t>Жан Кузи</t>
  </si>
  <si>
    <t>Чоголиза </t>
  </si>
  <si>
    <t>Пакистан</t>
  </si>
  <si>
    <t>Фред Прессл</t>
  </si>
  <si>
    <t>Гангапурна</t>
  </si>
  <si>
    <t>Гунтера Хаузера</t>
  </si>
  <si>
    <t>Аконкагуа</t>
  </si>
  <si>
    <t>Аргентина</t>
  </si>
  <si>
    <t>Америка</t>
  </si>
  <si>
    <t>Килиманджаро</t>
  </si>
  <si>
    <t>Танзания</t>
  </si>
  <si>
    <t>Африка</t>
  </si>
  <si>
    <t>шеститысячники</t>
  </si>
  <si>
    <t>Маттиас Цурбригген</t>
  </si>
  <si>
    <t>Людвиг Пуртшеллер</t>
  </si>
  <si>
    <t>Эльбрус</t>
  </si>
  <si>
    <t>Европа</t>
  </si>
  <si>
    <t>Россия</t>
  </si>
  <si>
    <t>Килар Хаширов</t>
  </si>
  <si>
    <t>пятитысячники</t>
  </si>
  <si>
    <t>Монблан</t>
  </si>
  <si>
    <t>Франция</t>
  </si>
  <si>
    <t>Жак Бальма</t>
  </si>
  <si>
    <t>Винсон</t>
  </si>
  <si>
    <t>Антарктида</t>
  </si>
  <si>
    <t>никто</t>
  </si>
  <si>
    <t>никакая</t>
  </si>
  <si>
    <t>Джая</t>
  </si>
  <si>
    <t>Океания</t>
  </si>
  <si>
    <t>Индонезия</t>
  </si>
  <si>
    <t>Генрих Харрер</t>
  </si>
  <si>
    <t>Юнгфрау</t>
  </si>
  <si>
    <t>четырехтысячники</t>
  </si>
  <si>
    <t>Эйгер</t>
  </si>
  <si>
    <t>Швейцария</t>
  </si>
  <si>
    <t>&lt;-я предполагаю</t>
  </si>
  <si>
    <t>Андреас Хекмайр</t>
  </si>
  <si>
    <t>Иоганн Рудольф</t>
  </si>
  <si>
    <t>Таблица 1</t>
  </si>
  <si>
    <t>Наименование товара</t>
  </si>
  <si>
    <t>Количество, шт</t>
  </si>
  <si>
    <t>Итоговая цена</t>
  </si>
  <si>
    <t>Клавиатура Logitech</t>
  </si>
  <si>
    <t>Накопитель на ЖМД SATA</t>
  </si>
  <si>
    <t>Материнская плата ASRock</t>
  </si>
  <si>
    <t>Корпус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</si>
  <si>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</si>
  <si>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</si>
  <si>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</si>
  <si>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</si>
  <si>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</si>
  <si>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</si>
  <si>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Phillips</t>
  </si>
  <si>
    <t>ИТОГО:</t>
  </si>
  <si>
    <t>Таблица 2</t>
  </si>
  <si>
    <t>Цена, $/шт</t>
  </si>
  <si>
    <t>Дискета Verbatim</t>
  </si>
  <si>
    <t>Принтер Acer</t>
  </si>
  <si>
    <t>Материнская плата  Asus</t>
  </si>
  <si>
    <t>Дата начала турнира:</t>
  </si>
  <si>
    <t>Номер тура:</t>
  </si>
  <si>
    <t>Дата</t>
  </si>
  <si>
    <t>Время</t>
  </si>
  <si>
    <t>Участник А</t>
  </si>
  <si>
    <t>Участник В</t>
  </si>
  <si>
    <t>Счёт</t>
  </si>
  <si>
    <t>Команда 1</t>
  </si>
  <si>
    <t>Команда 2</t>
  </si>
  <si>
    <t>Команда 3</t>
  </si>
  <si>
    <t>Команда 4</t>
  </si>
  <si>
    <t>Команда 5</t>
  </si>
  <si>
    <t>Команда 6</t>
  </si>
  <si>
    <t>Команда 7</t>
  </si>
  <si>
    <t>Команда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</si>
</sst>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/>
    </fill>
  </fills>
  <borders count="4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mediumDashed">
        <color rgb="FFFF0000"/>
      </bottom>
      <diagonal/>
    </border>
    <border>
      <left style="thick">
        <color rgb="FFFF0000"/>
      </left>
      <right style="thick">
        <color rgb="FFFF0000"/>
      </right>
      <top style="mediumDashed">
        <color rgb="FFFF0000"/>
      </top>
      <bottom style="mediumDashed">
        <color rgb="FFFF0000"/>
      </bottom>
      <diagonal/>
    </border>
    <border>
      <left style="thick">
        <color rgb="FFFF0000"/>
      </left>
      <right style="thick">
        <color rgb="FFFF0000"/>
      </right>
      <top style="mediumDashed">
        <color rgb="FFFF0000"/>
      </top>
      <bottom style="thick">
        <color rgb="FFFF0000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91">
    <xf numFmtId="0" fontId="0" fillId="0" borderId="0" xfId="0"/>
    <xf numFmtId="0" fontId="0" fillId="0" borderId="0" xfId="0" applyAlignment="1"/>
    <xf numFmtId="0" fontId="0" fillId="2" borderId="1" xfId="1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10" xfId="0" applyFont="1" applyBorder="1" applyAlignment="1">
      <alignment horizontal="right" wrapText="1"/>
    </xf>
    <xf numFmtId="0" fontId="5" fillId="0" borderId="11" xfId="0" applyFont="1" applyBorder="1" applyAlignment="1">
      <alignment horizontal="right" wrapText="1"/>
    </xf>
    <xf numFmtId="0" fontId="0" fillId="0" borderId="15" xfId="0" applyBorder="1" applyAlignment="1">
      <alignment horizontal="center"/>
    </xf>
    <xf numFmtId="0" fontId="5" fillId="0" borderId="7" xfId="0" applyFont="1" applyBorder="1" applyAlignment="1">
      <alignment horizontal="right" wrapText="1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31" xfId="0" applyBorder="1"/>
    <xf numFmtId="9" fontId="0" fillId="0" borderId="21" xfId="0" applyNumberFormat="1" applyBorder="1"/>
    <xf numFmtId="9" fontId="0" fillId="0" borderId="24" xfId="0" applyNumberFormat="1" applyBorder="1"/>
    <xf numFmtId="0" fontId="5" fillId="0" borderId="34" xfId="0" applyFont="1" applyBorder="1" applyAlignment="1">
      <alignment horizontal="center"/>
    </xf>
    <xf numFmtId="14" fontId="0" fillId="0" borderId="0" xfId="0" applyNumberFormat="1"/>
    <xf numFmtId="0" fontId="0" fillId="0" borderId="36" xfId="0" applyBorder="1"/>
    <xf numFmtId="0" fontId="0" fillId="1" borderId="34" xfId="0" applyFill="1" applyBorder="1"/>
    <xf numFmtId="0" fontId="0" fillId="1" borderId="18" xfId="0" applyFill="1" applyBorder="1"/>
    <xf numFmtId="0" fontId="0" fillId="0" borderId="17" xfId="0" applyNumberFormat="1" applyBorder="1"/>
    <xf numFmtId="0" fontId="0" fillId="0" borderId="20" xfId="0" applyNumberFormat="1" applyBorder="1"/>
    <xf numFmtId="0" fontId="0" fillId="0" borderId="23" xfId="0" applyNumberFormat="1" applyBorder="1"/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6" xfId="0" applyBorder="1" applyAlignment="1">
      <alignment wrapText="1"/>
    </xf>
    <xf numFmtId="0" fontId="0" fillId="0" borderId="34" xfId="0" applyBorder="1" applyAlignment="1">
      <alignment wrapText="1"/>
    </xf>
    <xf numFmtId="0" fontId="0" fillId="0" borderId="20" xfId="0" applyBorder="1" applyAlignment="1">
      <alignment horizontal="right"/>
    </xf>
    <xf numFmtId="0" fontId="0" fillId="0" borderId="0" xfId="0" applyBorder="1"/>
    <xf numFmtId="9" fontId="0" fillId="1" borderId="0" xfId="0" applyNumberFormat="1" applyFill="1" applyBorder="1"/>
    <xf numFmtId="0" fontId="0" fillId="3" borderId="37" xfId="0" applyFill="1" applyBorder="1"/>
    <xf numFmtId="0" fontId="0" fillId="3" borderId="38" xfId="0" applyFill="1" applyBorder="1"/>
    <xf numFmtId="0" fontId="0" fillId="3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4" borderId="0" xfId="0" applyFill="1"/>
    <xf numFmtId="0" fontId="2" fillId="0" borderId="20" xfId="0" applyFont="1" applyBorder="1"/>
    <xf numFmtId="0" fontId="0" fillId="5" borderId="20" xfId="0" applyFill="1" applyBorder="1"/>
    <xf numFmtId="0" fontId="0" fillId="0" borderId="20" xfId="0" applyFill="1" applyBorder="1"/>
    <xf numFmtId="164" fontId="0" fillId="0" borderId="20" xfId="0" applyNumberFormat="1" applyBorder="1"/>
    <xf numFmtId="0" fontId="7" fillId="5" borderId="20" xfId="0" applyFont="1" applyFill="1" applyBorder="1"/>
    <xf numFmtId="0" fontId="8" fillId="5" borderId="20" xfId="0" applyFont="1" applyFill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20" fontId="0" fillId="0" borderId="2" xfId="0" applyNumberFormat="1" applyBorder="1"/>
    <xf numFmtId="14" fontId="0" fillId="0" borderId="2" xfId="0" applyNumberFormat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 vertical="distributed"/>
    </xf>
    <xf numFmtId="0" fontId="2" fillId="0" borderId="11" xfId="0" applyFont="1" applyBorder="1" applyAlignment="1">
      <alignment horizontal="center" vertical="distributed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0" borderId="23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</cellXfs>
  <cellStyles count="2">
    <cellStyle name="Обычный" xfId="0" builtinId="0"/>
    <cellStyle name="Примечание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styles" Target="styles.xml"/><Relationship Id="rId3" Type="http://schemas.openxmlformats.org/officeDocument/2006/relationships/worksheet" Target="worksheets/sheet1.xml"/><Relationship Id="rId21" Type="http://schemas.microsoft.com/office/2006/relationships/vbaProject" Target="vbaProject.bin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theme" Target="theme/theme1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14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10" Type="http://schemas.openxmlformats.org/officeDocument/2006/relationships/worksheet" Target="worksheets/sheet8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4113983"/>
        <c:axId val="1042202735"/>
      </c:barChart>
      <c:catAx>
        <c:axId val="1154113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2202735"/>
        <c:crosses val="autoZero"/>
        <c:auto val="1"/>
        <c:lblAlgn val="ctr"/>
        <c:lblOffset val="100"/>
        <c:noMultiLvlLbl val="0"/>
      </c:catAx>
      <c:valAx>
        <c:axId val="1042202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11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0961711"/>
        <c:axId val="1186596223"/>
      </c:barChart>
      <c:catAx>
        <c:axId val="1040961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6596223"/>
        <c:crosses val="autoZero"/>
        <c:auto val="1"/>
        <c:lblAlgn val="ctr"/>
        <c:lblOffset val="100"/>
        <c:noMultiLvlLbl val="0"/>
      </c:catAx>
      <c:valAx>
        <c:axId val="11865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096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7641432701038465E-2"/>
          <c:y val="3.2721901188872519E-2"/>
          <c:w val="0.85713373993440367"/>
          <c:h val="0.58177631446920597"/>
        </c:manualLayout>
      </c:layout>
      <c:barChart>
        <c:barDir val="col"/>
        <c:grouping val="clustered"/>
        <c:varyColors val="0"/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04-40DA-91B3-D0C8388F67BA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 w="19050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04-40DA-91B3-D0C8388F67B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9050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04-40DA-91B3-D0C8388F67BA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 w="19050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04-40DA-91B3-D0C8388F67BA}"/>
              </c:ext>
            </c:extLst>
          </c:dPt>
          <c:dPt>
            <c:idx val="4"/>
            <c:invertIfNegative val="0"/>
            <c:bubble3D val="0"/>
            <c:spPr>
              <a:solidFill>
                <a:sysClr val="window" lastClr="FFFFFF">
                  <a:lumMod val="85000"/>
                </a:sysClr>
              </a:solidFill>
              <a:ln w="19050">
                <a:solidFill>
                  <a:sysClr val="windowText" lastClr="0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04-40DA-91B3-D0C8388F67BA}"/>
              </c:ext>
            </c:extLst>
          </c:dPt>
          <c:cat>
            <c:strRef>
              <c:f>'Расчёт сметы'!$A$8:$A$12</c:f>
              <c:strCache>
                <c:ptCount val="5"/>
                <c:pt idx="0">
                  <c:v>Итого прямых затрат:</c:v>
                </c:pt>
                <c:pt idx="1">
                  <c:v>Транспортные расходы:</c:v>
                </c:pt>
                <c:pt idx="2">
                  <c:v>Рентабельность:</c:v>
                </c:pt>
                <c:pt idx="3">
                  <c:v>Накладные расходы:</c:v>
                </c:pt>
                <c:pt idx="4">
                  <c:v>НДС:</c:v>
                </c:pt>
              </c:strCache>
            </c:strRef>
          </c:cat>
          <c:val>
            <c:numRef>
              <c:f>'Расчёт сметы'!$F$8:$F$12</c:f>
              <c:numCache>
                <c:formatCode>General</c:formatCode>
                <c:ptCount val="5"/>
                <c:pt idx="0">
                  <c:v>25400</c:v>
                </c:pt>
                <c:pt idx="1">
                  <c:v>3556.0000000000005</c:v>
                </c:pt>
                <c:pt idx="2">
                  <c:v>4572</c:v>
                </c:pt>
                <c:pt idx="3">
                  <c:v>3302</c:v>
                </c:pt>
                <c:pt idx="4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04-40DA-91B3-D0C8388F6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90878976"/>
        <c:axId val="1301044528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 w="15875">
                    <a:solidFill>
                      <a:schemeClr val="tx1"/>
                    </a:solidFill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rgbClr val="00B0F0"/>
                    </a:solidFill>
                    <a:ln w="15875">
                      <a:solidFill>
                        <a:schemeClr val="tx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C-ED04-40DA-91B3-D0C8388F67B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rgbClr val="7030A0"/>
                    </a:solidFill>
                    <a:ln w="15875">
                      <a:solidFill>
                        <a:schemeClr val="tx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ED04-40DA-91B3-D0C8388F67B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rgbClr val="FFFF00"/>
                    </a:solidFill>
                    <a:ln w="15875">
                      <a:solidFill>
                        <a:schemeClr val="tx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D04-40DA-91B3-D0C8388F67B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rgbClr val="92D050"/>
                    </a:solidFill>
                    <a:ln w="15875">
                      <a:solidFill>
                        <a:schemeClr val="tx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D04-40DA-91B3-D0C8388F67BA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'Расчёт сметы'!$A$8:$A$12</c15:sqref>
                        </c15:formulaRef>
                      </c:ext>
                    </c:extLst>
                    <c:strCache>
                      <c:ptCount val="5"/>
                      <c:pt idx="0">
                        <c:v>Итого прямых затрат:</c:v>
                      </c:pt>
                      <c:pt idx="1">
                        <c:v>Транспортные расходы:</c:v>
                      </c:pt>
                      <c:pt idx="2">
                        <c:v>Рентабельность:</c:v>
                      </c:pt>
                      <c:pt idx="3">
                        <c:v>Накладные расходы:</c:v>
                      </c:pt>
                      <c:pt idx="4">
                        <c:v>НДС: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'Расчёт сметы'!$B$8:$B$12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3-ED04-40DA-91B3-D0C8388F67BA}"/>
                  </c:ext>
                </c:extLst>
              </c15:ser>
            </c15:filteredBarSeries>
          </c:ext>
        </c:extLst>
      </c:barChart>
      <c:catAx>
        <c:axId val="109087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01044528"/>
        <c:crosses val="autoZero"/>
        <c:auto val="1"/>
        <c:lblAlgn val="ctr"/>
        <c:lblOffset val="100"/>
        <c:noMultiLvlLbl val="0"/>
      </c:catAx>
      <c:valAx>
        <c:axId val="1301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90878976"/>
        <c:crosses val="autoZero"/>
        <c:crossBetween val="between"/>
      </c:valAx>
      <c:spPr>
        <a:solidFill>
          <a:schemeClr val="tx1">
            <a:lumMod val="50000"/>
            <a:lumOff val="50000"/>
            <a:alpha val="69000"/>
          </a:schemeClr>
        </a:solidFill>
        <a:ln w="15875" cmpd="sng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871392425271925"/>
          <c:y val="0.68065451845053904"/>
          <c:w val="0.70048403019024852"/>
          <c:h val="0.1945833235372566"/>
        </c:manualLayout>
      </c:layout>
      <c:overlay val="0"/>
      <c:spPr>
        <a:noFill/>
        <a:ln w="1905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26645D-FA0B-49F4-ADB9-F1E9DA26B726}">
  <sheetPr codeName="Диаграмма1"/>
  <sheetViews>
    <sheetView zoomScale="9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52A4D0-B5D8-4690-A813-B11238226711}">
  <sheetPr codeName="Диаграмма2"/>
  <sheetViews>
    <sheetView zoomScale="9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379" cy="606391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E04CD94-9066-4961-AB3F-D1A5276F50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8379" cy="606391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1389BDA-D64F-4F70-94F1-E4DE4B507F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17257</xdr:colOff>
      <xdr:row>0</xdr:row>
      <xdr:rowOff>173804</xdr:rowOff>
    </xdr:from>
    <xdr:to>
      <xdr:col>10</xdr:col>
      <xdr:colOff>15240</xdr:colOff>
      <xdr:row>14</xdr:row>
      <xdr:rowOff>45720</xdr:rowOff>
    </xdr:to>
    <xdr:graphicFrame macro="">
      <xdr:nvGraphicFramePr>
        <xdr:cNvPr id="4" name="Диаграмма 6">
          <a:extLst>
            <a:ext uri="{FF2B5EF4-FFF2-40B4-BE49-F238E27FC236}">
              <a16:creationId xmlns:a16="http://schemas.microsoft.com/office/drawing/2014/main" id="{328E52C1-993C-46E3-A215-32AB3535AC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29"/>
  <sheetViews>
    <sheetView topLeftCell="A12" zoomScaleNormal="100" workbookViewId="0">
      <selection activeCell="F21" sqref="F21"/>
    </sheetView>
  </sheetViews>
  <sheetFormatPr defaultRowHeight="14.4" x14ac:dyDescent="0.3"/>
  <cols>
    <col min="1" max="1" width="15.6640625" customWidth="1"/>
    <col min="2" max="2" width="17.88671875" customWidth="1"/>
    <col min="3" max="3" width="17.77734375" customWidth="1"/>
  </cols>
  <sheetData>
    <row r="1" spans="1:3" x14ac:dyDescent="0.3">
      <c r="A1" s="2" t="s">
        <v>5</v>
      </c>
      <c r="B1" s="2" t="s">
        <v>6</v>
      </c>
    </row>
    <row r="2" spans="1:3" ht="15" thickBot="1" x14ac:dyDescent="0.35">
      <c r="A2" s="1"/>
      <c r="B2" s="1"/>
    </row>
    <row r="3" spans="1:3" ht="15.6" thickTop="1" thickBot="1" x14ac:dyDescent="0.35">
      <c r="A3" s="66" t="s">
        <v>0</v>
      </c>
      <c r="B3" s="66"/>
      <c r="C3" s="3">
        <v>-90</v>
      </c>
    </row>
    <row r="4" spans="1:3" ht="15" thickBot="1" x14ac:dyDescent="0.35">
      <c r="A4" s="66" t="s">
        <v>1</v>
      </c>
      <c r="B4" s="66"/>
      <c r="C4" s="4">
        <v>90</v>
      </c>
    </row>
    <row r="5" spans="1:3" ht="15" thickBot="1" x14ac:dyDescent="0.35">
      <c r="A5" s="66" t="s">
        <v>2</v>
      </c>
      <c r="B5" s="66"/>
      <c r="C5" s="4">
        <v>15</v>
      </c>
    </row>
    <row r="6" spans="1:3" ht="15" thickBot="1" x14ac:dyDescent="0.35">
      <c r="A6" s="66" t="s">
        <v>3</v>
      </c>
      <c r="B6" s="66"/>
      <c r="C6" s="11">
        <v>-0.77</v>
      </c>
    </row>
    <row r="7" spans="1:3" ht="15" thickTop="1" x14ac:dyDescent="0.3"/>
    <row r="9" spans="1:3" x14ac:dyDescent="0.3">
      <c r="A9" s="67" t="s">
        <v>4</v>
      </c>
      <c r="B9" s="67"/>
      <c r="C9" s="67"/>
    </row>
    <row r="10" spans="1:3" ht="15" thickBot="1" x14ac:dyDescent="0.35"/>
    <row r="11" spans="1:3" ht="15.6" thickTop="1" thickBot="1" x14ac:dyDescent="0.35">
      <c r="A11" s="64" t="s">
        <v>9</v>
      </c>
      <c r="B11" s="62" t="s">
        <v>13</v>
      </c>
      <c r="C11" s="63"/>
    </row>
    <row r="12" spans="1:3" ht="15" thickBot="1" x14ac:dyDescent="0.35">
      <c r="A12" s="65"/>
      <c r="B12" s="9" t="s">
        <v>7</v>
      </c>
      <c r="C12" s="10" t="s">
        <v>8</v>
      </c>
    </row>
    <row r="13" spans="1:3" ht="15" thickTop="1" x14ac:dyDescent="0.3">
      <c r="A13" s="7">
        <f>C3</f>
        <v>-90</v>
      </c>
      <c r="B13" s="15">
        <f>ROUND((SIN(A13*100)/COS(100*A13))-SQRT(ABS(A13/100)),2)</f>
        <v>-0.17</v>
      </c>
      <c r="C13" s="16">
        <f>ROUND((SIN(A13*120)/COS(120*A13))-SQRT(ABS(A13/120)),2)</f>
        <v>0.15</v>
      </c>
    </row>
    <row r="14" spans="1:3" x14ac:dyDescent="0.3">
      <c r="A14" s="7">
        <f>IF(A13&lt;90,A13+$C$5,"значение вне ОДЗ")</f>
        <v>-75</v>
      </c>
      <c r="B14" s="15">
        <f t="shared" ref="B14:B25" si="0">ROUND((SIN(A14*100)/COS(100*A14))-SQRT(ABS(A14/100)),2)</f>
        <v>-2.4900000000000002</v>
      </c>
      <c r="C14" s="16">
        <f t="shared" ref="C14:C25" si="1">ROUND((SIN(A14*120)/COS(120*A14))-SQRT(ABS(A14/120)),2)</f>
        <v>-0.01</v>
      </c>
    </row>
    <row r="15" spans="1:3" x14ac:dyDescent="0.3">
      <c r="A15" s="7">
        <f t="shared" ref="A15:A25" si="2">IF(A14&lt;90,A14+$C$5,"значение вне ОДЗ")</f>
        <v>-60</v>
      </c>
      <c r="B15" s="15">
        <f t="shared" si="0"/>
        <v>-0.3</v>
      </c>
      <c r="C15" s="16">
        <f t="shared" si="1"/>
        <v>-0.12</v>
      </c>
    </row>
    <row r="16" spans="1:3" x14ac:dyDescent="0.3">
      <c r="A16" s="7">
        <f t="shared" si="2"/>
        <v>-45</v>
      </c>
      <c r="B16" s="15">
        <f t="shared" si="0"/>
        <v>-3.58</v>
      </c>
      <c r="C16" s="16">
        <f t="shared" si="1"/>
        <v>-0.19</v>
      </c>
    </row>
    <row r="17" spans="1:3" x14ac:dyDescent="0.3">
      <c r="A17" s="7">
        <f t="shared" si="2"/>
        <v>-30</v>
      </c>
      <c r="B17" s="15">
        <f t="shared" si="0"/>
        <v>-0.32</v>
      </c>
      <c r="C17" s="16">
        <f t="shared" si="1"/>
        <v>-0.23</v>
      </c>
    </row>
    <row r="18" spans="1:3" x14ac:dyDescent="0.3">
      <c r="A18" s="7">
        <f t="shared" si="2"/>
        <v>-15</v>
      </c>
      <c r="B18" s="15">
        <f t="shared" si="0"/>
        <v>-9.4</v>
      </c>
      <c r="C18" s="16">
        <f t="shared" si="1"/>
        <v>-0.22</v>
      </c>
    </row>
    <row r="19" spans="1:3" x14ac:dyDescent="0.3">
      <c r="A19" s="7">
        <f t="shared" si="2"/>
        <v>0</v>
      </c>
      <c r="B19" s="15">
        <f t="shared" si="0"/>
        <v>0</v>
      </c>
      <c r="C19" s="16">
        <f t="shared" si="1"/>
        <v>0</v>
      </c>
    </row>
    <row r="20" spans="1:3" x14ac:dyDescent="0.3">
      <c r="A20" s="7">
        <f t="shared" si="2"/>
        <v>15</v>
      </c>
      <c r="B20" s="15">
        <f t="shared" si="0"/>
        <v>8.6300000000000008</v>
      </c>
      <c r="C20" s="16">
        <f t="shared" si="1"/>
        <v>-0.49</v>
      </c>
    </row>
    <row r="21" spans="1:3" x14ac:dyDescent="0.3">
      <c r="A21" s="7">
        <f t="shared" si="2"/>
        <v>30</v>
      </c>
      <c r="B21" s="15">
        <f t="shared" si="0"/>
        <v>-0.77</v>
      </c>
      <c r="C21" s="16">
        <f t="shared" si="1"/>
        <v>-0.77</v>
      </c>
    </row>
    <row r="22" spans="1:3" x14ac:dyDescent="0.3">
      <c r="A22" s="7">
        <f t="shared" si="2"/>
        <v>45</v>
      </c>
      <c r="B22" s="15">
        <f t="shared" si="0"/>
        <v>2.23</v>
      </c>
      <c r="C22" s="16">
        <f t="shared" si="1"/>
        <v>-1.03</v>
      </c>
    </row>
    <row r="23" spans="1:3" x14ac:dyDescent="0.3">
      <c r="A23" s="7">
        <f t="shared" si="2"/>
        <v>60</v>
      </c>
      <c r="B23" s="15">
        <f t="shared" si="0"/>
        <v>-1.25</v>
      </c>
      <c r="C23" s="16">
        <f t="shared" si="1"/>
        <v>-1.29</v>
      </c>
    </row>
    <row r="24" spans="1:3" x14ac:dyDescent="0.3">
      <c r="A24" s="7">
        <f t="shared" si="2"/>
        <v>75</v>
      </c>
      <c r="B24" s="15">
        <f t="shared" si="0"/>
        <v>0.76</v>
      </c>
      <c r="C24" s="16">
        <f t="shared" si="1"/>
        <v>-1.57</v>
      </c>
    </row>
    <row r="25" spans="1:3" ht="15" thickBot="1" x14ac:dyDescent="0.35">
      <c r="A25" s="7">
        <f t="shared" si="2"/>
        <v>90</v>
      </c>
      <c r="B25" s="15">
        <f t="shared" si="0"/>
        <v>-1.73</v>
      </c>
      <c r="C25" s="16">
        <f t="shared" si="1"/>
        <v>-1.89</v>
      </c>
    </row>
    <row r="26" spans="1:3" ht="44.4" thickTop="1" thickBot="1" x14ac:dyDescent="0.35">
      <c r="A26" s="8" t="s">
        <v>10</v>
      </c>
      <c r="B26" s="12">
        <f>MAX(B13:B25)</f>
        <v>8.6300000000000008</v>
      </c>
      <c r="C26" s="12">
        <f>MAX(C13:C25)</f>
        <v>0.15</v>
      </c>
    </row>
    <row r="27" spans="1:3" ht="43.8" thickBot="1" x14ac:dyDescent="0.35">
      <c r="A27" s="5" t="s">
        <v>11</v>
      </c>
      <c r="B27" s="13">
        <f>MIN(B13:B25)</f>
        <v>-9.4</v>
      </c>
      <c r="C27" s="13">
        <f>MIN(C13:C25)</f>
        <v>-1.89</v>
      </c>
    </row>
    <row r="28" spans="1:3" ht="43.8" thickBot="1" x14ac:dyDescent="0.35">
      <c r="A28" s="6" t="s">
        <v>12</v>
      </c>
      <c r="B28" s="14">
        <f>COUNTIF(B13:B25,C6)</f>
        <v>1</v>
      </c>
      <c r="C28" s="14">
        <f>COUNTIF(C13:C25,C6)</f>
        <v>1</v>
      </c>
    </row>
    <row r="29" spans="1:3" ht="15" thickTop="1" x14ac:dyDescent="0.3"/>
  </sheetData>
  <mergeCells count="7">
    <mergeCell ref="B11:C11"/>
    <mergeCell ref="A11:A12"/>
    <mergeCell ref="A3:B3"/>
    <mergeCell ref="A4:B4"/>
    <mergeCell ref="A5:B5"/>
    <mergeCell ref="A6:B6"/>
    <mergeCell ref="A9:C9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E73E-1BAB-4F0D-8BC0-0E1907BA40EF}">
  <sheetPr codeName="Лист4"/>
  <dimension ref="A1:C9"/>
  <sheetViews>
    <sheetView zoomScale="145" zoomScaleNormal="145" workbookViewId="0">
      <selection activeCell="C12" sqref="C12"/>
    </sheetView>
  </sheetViews>
  <sheetFormatPr defaultRowHeight="14.4" x14ac:dyDescent="0.3"/>
  <cols>
    <col min="1" max="1" width="14.44140625" customWidth="1"/>
    <col min="2" max="2" width="15.6640625" customWidth="1"/>
    <col min="3" max="3" width="15.88671875" customWidth="1"/>
  </cols>
  <sheetData>
    <row r="1" spans="1:3" ht="15.6" thickTop="1" thickBot="1" x14ac:dyDescent="0.35">
      <c r="A1" s="72" t="s">
        <v>14</v>
      </c>
      <c r="B1" s="73"/>
      <c r="C1" s="27" t="s">
        <v>15</v>
      </c>
    </row>
    <row r="2" spans="1:3" ht="15" thickTop="1" x14ac:dyDescent="0.3">
      <c r="A2" s="74" t="s">
        <v>16</v>
      </c>
      <c r="B2" s="75"/>
      <c r="C2" s="24" t="s">
        <v>23</v>
      </c>
    </row>
    <row r="3" spans="1:3" x14ac:dyDescent="0.3">
      <c r="A3" s="68" t="s">
        <v>17</v>
      </c>
      <c r="B3" s="69"/>
      <c r="C3" s="21" t="s">
        <v>24</v>
      </c>
    </row>
    <row r="4" spans="1:3" x14ac:dyDescent="0.3">
      <c r="A4" s="68" t="s">
        <v>18</v>
      </c>
      <c r="B4" s="69"/>
      <c r="C4" s="21" t="s">
        <v>25</v>
      </c>
    </row>
    <row r="5" spans="1:3" x14ac:dyDescent="0.3">
      <c r="A5" s="68" t="s">
        <v>19</v>
      </c>
      <c r="B5" s="69"/>
      <c r="C5" s="25">
        <v>0.18</v>
      </c>
    </row>
    <row r="6" spans="1:3" x14ac:dyDescent="0.3">
      <c r="A6" s="68" t="s">
        <v>20</v>
      </c>
      <c r="B6" s="69"/>
      <c r="C6" s="25">
        <v>0.14000000000000001</v>
      </c>
    </row>
    <row r="7" spans="1:3" x14ac:dyDescent="0.3">
      <c r="A7" s="68" t="s">
        <v>21</v>
      </c>
      <c r="B7" s="69"/>
      <c r="C7" s="25">
        <v>0.13</v>
      </c>
    </row>
    <row r="8" spans="1:3" ht="15" thickBot="1" x14ac:dyDescent="0.35">
      <c r="A8" s="70" t="s">
        <v>22</v>
      </c>
      <c r="B8" s="71"/>
      <c r="C8" s="26">
        <v>0.2</v>
      </c>
    </row>
    <row r="9" spans="1:3" ht="15" thickTop="1" x14ac:dyDescent="0.3"/>
  </sheetData>
  <mergeCells count="8">
    <mergeCell ref="A6:B6"/>
    <mergeCell ref="A7:B7"/>
    <mergeCell ref="A8:B8"/>
    <mergeCell ref="A1:B1"/>
    <mergeCell ref="A2:B2"/>
    <mergeCell ref="A3:B3"/>
    <mergeCell ref="A4:B4"/>
    <mergeCell ref="A5:B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A0D2-DA5E-4419-A0E7-AD9CFD955372}">
  <sheetPr codeName="Лист5"/>
  <dimension ref="A1:I22"/>
  <sheetViews>
    <sheetView zoomScale="116" zoomScaleNormal="136" workbookViewId="0">
      <selection activeCell="E14" sqref="E14"/>
    </sheetView>
  </sheetViews>
  <sheetFormatPr defaultRowHeight="14.4" x14ac:dyDescent="0.3"/>
  <cols>
    <col min="2" max="2" width="22.33203125" customWidth="1"/>
    <col min="3" max="3" width="14.21875" bestFit="1" customWidth="1"/>
    <col min="5" max="5" width="11.5546875" customWidth="1"/>
    <col min="6" max="6" width="11" customWidth="1"/>
    <col min="8" max="8" width="15.44140625" bestFit="1" customWidth="1"/>
    <col min="9" max="9" width="13.6640625" bestFit="1" customWidth="1"/>
  </cols>
  <sheetData>
    <row r="1" spans="1:9" ht="15" thickBot="1" x14ac:dyDescent="0.35">
      <c r="A1" s="78" t="s">
        <v>26</v>
      </c>
      <c r="B1" s="78"/>
      <c r="C1" s="78"/>
      <c r="D1" s="78"/>
      <c r="E1" s="78"/>
      <c r="F1" s="78"/>
    </row>
    <row r="2" spans="1:9" ht="30" thickTop="1" thickBot="1" x14ac:dyDescent="0.35">
      <c r="A2" s="35" t="s">
        <v>27</v>
      </c>
      <c r="B2" s="36" t="s">
        <v>28</v>
      </c>
      <c r="C2" s="36" t="s">
        <v>29</v>
      </c>
      <c r="D2" s="36" t="s">
        <v>30</v>
      </c>
      <c r="E2" s="37" t="s">
        <v>31</v>
      </c>
      <c r="F2" s="38" t="s">
        <v>32</v>
      </c>
    </row>
    <row r="3" spans="1:9" ht="17.399999999999999" thickTop="1" thickBot="1" x14ac:dyDescent="0.35">
      <c r="A3" s="17">
        <v>1</v>
      </c>
      <c r="B3" s="18" t="s">
        <v>46</v>
      </c>
      <c r="C3" s="32" t="s">
        <v>37</v>
      </c>
      <c r="D3" s="18">
        <v>30</v>
      </c>
      <c r="E3" s="18">
        <v>100</v>
      </c>
      <c r="F3" s="31">
        <f>D3*E3</f>
        <v>3000</v>
      </c>
    </row>
    <row r="4" spans="1:9" ht="15.6" thickTop="1" thickBot="1" x14ac:dyDescent="0.35">
      <c r="A4" s="19">
        <v>2</v>
      </c>
      <c r="B4" s="20" t="s">
        <v>47</v>
      </c>
      <c r="C4" s="20" t="s">
        <v>38</v>
      </c>
      <c r="D4" s="20">
        <v>14</v>
      </c>
      <c r="E4" s="20">
        <v>600</v>
      </c>
      <c r="F4" s="31">
        <f t="shared" ref="F4:F7" si="0">D4*E4</f>
        <v>8400</v>
      </c>
    </row>
    <row r="5" spans="1:9" ht="17.399999999999999" thickTop="1" thickBot="1" x14ac:dyDescent="0.35">
      <c r="A5" s="19">
        <v>3</v>
      </c>
      <c r="B5" s="20" t="s">
        <v>48</v>
      </c>
      <c r="C5" s="33" t="s">
        <v>37</v>
      </c>
      <c r="D5" s="20">
        <v>40</v>
      </c>
      <c r="E5" s="20">
        <v>130</v>
      </c>
      <c r="F5" s="31">
        <f t="shared" si="0"/>
        <v>5200</v>
      </c>
      <c r="H5" t="s">
        <v>34</v>
      </c>
      <c r="I5" s="41" t="str">
        <f>'Справочник предприятия'!C4</f>
        <v>Кудрин В.В.</v>
      </c>
    </row>
    <row r="6" spans="1:9" ht="17.399999999999999" thickTop="1" thickBot="1" x14ac:dyDescent="0.35">
      <c r="A6" s="19">
        <v>4</v>
      </c>
      <c r="B6" s="20" t="s">
        <v>49</v>
      </c>
      <c r="C6" s="33" t="s">
        <v>37</v>
      </c>
      <c r="D6" s="20">
        <v>40</v>
      </c>
      <c r="E6" s="20">
        <v>170</v>
      </c>
      <c r="F6" s="31">
        <f t="shared" si="0"/>
        <v>6800</v>
      </c>
      <c r="H6" t="s">
        <v>35</v>
      </c>
      <c r="I6" s="41" t="str">
        <f>'Справочник предприятия'!C3</f>
        <v>Семёнова А.Н.</v>
      </c>
    </row>
    <row r="7" spans="1:9" ht="17.399999999999999" thickTop="1" thickBot="1" x14ac:dyDescent="0.35">
      <c r="A7" s="22">
        <v>5</v>
      </c>
      <c r="B7" s="23" t="s">
        <v>50</v>
      </c>
      <c r="C7" s="34" t="s">
        <v>37</v>
      </c>
      <c r="D7" s="23">
        <v>25</v>
      </c>
      <c r="E7" s="23">
        <v>80</v>
      </c>
      <c r="F7" s="31">
        <f t="shared" si="0"/>
        <v>2000</v>
      </c>
      <c r="H7" t="s">
        <v>36</v>
      </c>
      <c r="I7" s="28">
        <v>42762</v>
      </c>
    </row>
    <row r="8" spans="1:9" ht="15.6" thickTop="1" thickBot="1" x14ac:dyDescent="0.35">
      <c r="A8" s="79" t="s">
        <v>33</v>
      </c>
      <c r="B8" s="80"/>
      <c r="C8" s="29"/>
      <c r="D8" s="29"/>
      <c r="E8" s="29"/>
      <c r="F8" s="30">
        <f>SUM(F3:F7)</f>
        <v>25400</v>
      </c>
    </row>
    <row r="9" spans="1:9" ht="15.6" thickTop="1" thickBot="1" x14ac:dyDescent="0.35">
      <c r="A9" s="81" t="s">
        <v>39</v>
      </c>
      <c r="B9" s="82"/>
      <c r="C9" s="18" t="s">
        <v>44</v>
      </c>
      <c r="D9" s="18"/>
      <c r="E9" s="18"/>
      <c r="F9" s="31">
        <f>$F$8*('Справочник предприятия'!C6)</f>
        <v>3556.0000000000005</v>
      </c>
    </row>
    <row r="10" spans="1:9" ht="15.6" thickTop="1" thickBot="1" x14ac:dyDescent="0.35">
      <c r="A10" s="83" t="s">
        <v>40</v>
      </c>
      <c r="B10" s="84"/>
      <c r="C10" s="20" t="s">
        <v>44</v>
      </c>
      <c r="D10" s="20"/>
      <c r="E10" s="20"/>
      <c r="F10" s="31">
        <f>$F$8*('Справочник предприятия'!C5)</f>
        <v>4572</v>
      </c>
    </row>
    <row r="11" spans="1:9" ht="15.6" thickTop="1" thickBot="1" x14ac:dyDescent="0.35">
      <c r="A11" s="83" t="s">
        <v>41</v>
      </c>
      <c r="B11" s="84"/>
      <c r="C11" s="20" t="s">
        <v>44</v>
      </c>
      <c r="D11" s="20"/>
      <c r="E11" s="20"/>
      <c r="F11" s="31">
        <f>$F$8*('Справочник предприятия'!C7)</f>
        <v>3302</v>
      </c>
    </row>
    <row r="12" spans="1:9" ht="15.6" thickTop="1" thickBot="1" x14ac:dyDescent="0.35">
      <c r="A12" s="85" t="s">
        <v>42</v>
      </c>
      <c r="B12" s="86"/>
      <c r="C12" s="23" t="s">
        <v>44</v>
      </c>
      <c r="D12" s="23"/>
      <c r="E12" s="23"/>
      <c r="F12" s="31">
        <f>$F$8*('Справочник предприятия'!C8)</f>
        <v>5080</v>
      </c>
    </row>
    <row r="13" spans="1:9" ht="15.6" thickTop="1" thickBot="1" x14ac:dyDescent="0.35">
      <c r="A13" s="76" t="s">
        <v>43</v>
      </c>
      <c r="B13" s="77"/>
      <c r="C13" s="29"/>
      <c r="D13" s="29"/>
      <c r="E13" s="29"/>
      <c r="F13" s="30">
        <f>SUM(F8:F12)</f>
        <v>41910</v>
      </c>
    </row>
    <row r="14" spans="1:9" ht="15" thickTop="1" x14ac:dyDescent="0.3"/>
    <row r="15" spans="1:9" x14ac:dyDescent="0.3">
      <c r="A15" s="40"/>
      <c r="B15" s="40"/>
    </row>
    <row r="16" spans="1:9" x14ac:dyDescent="0.3">
      <c r="A16" s="87"/>
      <c r="B16" s="87"/>
    </row>
    <row r="17" spans="1:3" x14ac:dyDescent="0.3">
      <c r="A17" s="87"/>
      <c r="B17" s="87"/>
    </row>
    <row r="18" spans="1:3" x14ac:dyDescent="0.3">
      <c r="A18" s="87"/>
      <c r="B18" s="87"/>
    </row>
    <row r="19" spans="1:3" x14ac:dyDescent="0.3">
      <c r="A19" s="87"/>
      <c r="B19" s="87"/>
    </row>
    <row r="20" spans="1:3" x14ac:dyDescent="0.3">
      <c r="A20" s="88"/>
      <c r="B20" s="88"/>
    </row>
    <row r="21" spans="1:3" x14ac:dyDescent="0.3">
      <c r="A21" s="40"/>
      <c r="B21" s="40"/>
      <c r="C21" s="40"/>
    </row>
    <row r="22" spans="1:3" x14ac:dyDescent="0.3">
      <c r="A22" s="40"/>
      <c r="B22" s="40"/>
      <c r="C22" s="40"/>
    </row>
  </sheetData>
  <mergeCells count="12">
    <mergeCell ref="A16:B16"/>
    <mergeCell ref="A17:B17"/>
    <mergeCell ref="A18:B18"/>
    <mergeCell ref="A19:B19"/>
    <mergeCell ref="A20:B20"/>
    <mergeCell ref="A13:B13"/>
    <mergeCell ref="A1:F1"/>
    <mergeCell ref="A8:B8"/>
    <mergeCell ref="A9:B9"/>
    <mergeCell ref="A10:B10"/>
    <mergeCell ref="A11:B11"/>
    <mergeCell ref="A12:B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08638-7652-469A-AB99-61BBAABA4F11}">
  <sheetPr codeName="Лист6"/>
  <dimension ref="A1:J1"/>
  <sheetViews>
    <sheetView workbookViewId="0">
      <selection activeCell="I18" sqref="I18"/>
    </sheetView>
  </sheetViews>
  <sheetFormatPr defaultRowHeight="14.4" x14ac:dyDescent="0.3"/>
  <sheetData>
    <row r="1" spans="1:10" x14ac:dyDescent="0.3">
      <c r="A1" s="66" t="s">
        <v>45</v>
      </c>
      <c r="B1" s="66"/>
      <c r="C1" s="66"/>
      <c r="D1" s="66"/>
      <c r="E1" s="66"/>
      <c r="F1" s="66"/>
      <c r="G1" s="66"/>
      <c r="H1" s="66"/>
      <c r="I1" s="66"/>
      <c r="J1" s="66"/>
    </row>
  </sheetData>
  <mergeCells count="1">
    <mergeCell ref="A1:J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B8DEB-DA9A-490F-A03A-6F37E97F9863}">
  <sheetPr codeName="Лист7"/>
  <dimension ref="A1:I16"/>
  <sheetViews>
    <sheetView zoomScale="109" workbookViewId="0">
      <pane ySplit="1" topLeftCell="A2" activePane="bottomLeft" state="frozen"/>
      <selection pane="bottomLeft" activeCell="F6" sqref="F6"/>
    </sheetView>
  </sheetViews>
  <sheetFormatPr defaultRowHeight="14.4" outlineLevelCol="2" x14ac:dyDescent="0.3"/>
  <cols>
    <col min="1" max="1" width="8.88671875" bestFit="1" customWidth="1"/>
    <col min="2" max="2" width="13" bestFit="1" customWidth="1"/>
    <col min="3" max="3" width="11.109375" bestFit="1" customWidth="1"/>
    <col min="4" max="4" width="14.77734375" customWidth="1" outlineLevel="1"/>
    <col min="5" max="5" width="18.77734375" customWidth="1" outlineLevel="1"/>
    <col min="6" max="6" width="9.44140625" customWidth="1" outlineLevel="2"/>
    <col min="7" max="7" width="21.5546875" customWidth="1" outlineLevel="2"/>
    <col min="8" max="8" width="26.33203125" bestFit="1" customWidth="1"/>
    <col min="9" max="9" width="15.6640625" bestFit="1" customWidth="1"/>
  </cols>
  <sheetData>
    <row r="1" spans="1:9" x14ac:dyDescent="0.3">
      <c r="A1" s="42" t="s">
        <v>51</v>
      </c>
      <c r="B1" s="43" t="s">
        <v>52</v>
      </c>
      <c r="C1" s="43" t="s">
        <v>53</v>
      </c>
      <c r="D1" s="43" t="s">
        <v>16</v>
      </c>
      <c r="E1" s="43" t="s">
        <v>54</v>
      </c>
      <c r="F1" s="43" t="s">
        <v>55</v>
      </c>
      <c r="G1" s="43" t="s">
        <v>56</v>
      </c>
      <c r="H1" s="44" t="s">
        <v>57</v>
      </c>
    </row>
    <row r="2" spans="1:9" x14ac:dyDescent="0.3">
      <c r="A2" s="45">
        <v>1</v>
      </c>
      <c r="B2" s="20" t="s">
        <v>61</v>
      </c>
      <c r="C2" s="20" t="s">
        <v>60</v>
      </c>
      <c r="D2" s="20" t="s">
        <v>58</v>
      </c>
      <c r="E2" s="20" t="s">
        <v>59</v>
      </c>
      <c r="F2" s="20">
        <v>8848</v>
      </c>
      <c r="G2" s="20" t="s">
        <v>62</v>
      </c>
      <c r="H2" s="46">
        <v>1953</v>
      </c>
    </row>
    <row r="3" spans="1:9" x14ac:dyDescent="0.3">
      <c r="A3" s="45">
        <v>2</v>
      </c>
      <c r="B3" s="20" t="s">
        <v>61</v>
      </c>
      <c r="C3" s="20" t="s">
        <v>64</v>
      </c>
      <c r="D3" s="20" t="s">
        <v>63</v>
      </c>
      <c r="E3" s="20" t="s">
        <v>59</v>
      </c>
      <c r="F3" s="20">
        <v>8156</v>
      </c>
      <c r="G3" s="20" t="s">
        <v>65</v>
      </c>
      <c r="H3" s="46">
        <v>1956</v>
      </c>
    </row>
    <row r="4" spans="1:9" x14ac:dyDescent="0.3">
      <c r="A4" s="45">
        <v>3</v>
      </c>
      <c r="B4" s="20" t="s">
        <v>61</v>
      </c>
      <c r="C4" s="20" t="s">
        <v>64</v>
      </c>
      <c r="D4" s="20" t="s">
        <v>66</v>
      </c>
      <c r="E4" s="20" t="s">
        <v>59</v>
      </c>
      <c r="F4" s="20">
        <v>8091</v>
      </c>
      <c r="G4" s="20" t="s">
        <v>67</v>
      </c>
      <c r="H4" s="46">
        <v>1950</v>
      </c>
    </row>
    <row r="5" spans="1:9" x14ac:dyDescent="0.3">
      <c r="A5" s="45">
        <v>4</v>
      </c>
      <c r="B5" s="20" t="s">
        <v>61</v>
      </c>
      <c r="C5" s="20" t="s">
        <v>64</v>
      </c>
      <c r="D5" s="20" t="s">
        <v>68</v>
      </c>
      <c r="E5" s="20" t="s">
        <v>69</v>
      </c>
      <c r="F5" s="20">
        <v>7893</v>
      </c>
      <c r="G5" s="20" t="s">
        <v>70</v>
      </c>
      <c r="H5" s="46">
        <v>1960</v>
      </c>
    </row>
    <row r="6" spans="1:9" x14ac:dyDescent="0.3">
      <c r="A6" s="45">
        <v>5</v>
      </c>
      <c r="B6" s="20" t="s">
        <v>61</v>
      </c>
      <c r="C6" s="20" t="s">
        <v>60</v>
      </c>
      <c r="D6" s="20" t="s">
        <v>71</v>
      </c>
      <c r="E6" s="20" t="s">
        <v>69</v>
      </c>
      <c r="F6" s="20">
        <v>7790</v>
      </c>
      <c r="G6" s="20" t="s">
        <v>72</v>
      </c>
      <c r="H6" s="46">
        <v>1954</v>
      </c>
    </row>
    <row r="7" spans="1:9" x14ac:dyDescent="0.3">
      <c r="A7" s="45">
        <v>6</v>
      </c>
      <c r="B7" s="20" t="s">
        <v>61</v>
      </c>
      <c r="C7" s="20" t="s">
        <v>74</v>
      </c>
      <c r="D7" s="20" t="s">
        <v>73</v>
      </c>
      <c r="E7" s="20" t="s">
        <v>69</v>
      </c>
      <c r="F7" s="20">
        <v>7665</v>
      </c>
      <c r="G7" s="20" t="s">
        <v>75</v>
      </c>
      <c r="H7" s="46">
        <v>1975</v>
      </c>
    </row>
    <row r="8" spans="1:9" x14ac:dyDescent="0.3">
      <c r="A8" s="45">
        <v>7</v>
      </c>
      <c r="B8" s="20" t="s">
        <v>61</v>
      </c>
      <c r="C8" s="20" t="s">
        <v>64</v>
      </c>
      <c r="D8" s="20" t="s">
        <v>76</v>
      </c>
      <c r="E8" s="20" t="s">
        <v>69</v>
      </c>
      <c r="F8" s="20">
        <v>7455</v>
      </c>
      <c r="G8" s="20" t="s">
        <v>77</v>
      </c>
      <c r="H8" s="46">
        <v>1965</v>
      </c>
    </row>
    <row r="9" spans="1:9" x14ac:dyDescent="0.3">
      <c r="A9" s="45">
        <v>8</v>
      </c>
      <c r="B9" s="20" t="s">
        <v>80</v>
      </c>
      <c r="C9" s="20" t="s">
        <v>79</v>
      </c>
      <c r="D9" s="20" t="s">
        <v>78</v>
      </c>
      <c r="E9" s="20" t="s">
        <v>69</v>
      </c>
      <c r="F9" s="20">
        <v>6962</v>
      </c>
      <c r="G9" s="20" t="s">
        <v>85</v>
      </c>
      <c r="H9" s="46">
        <v>1897</v>
      </c>
    </row>
    <row r="10" spans="1:9" x14ac:dyDescent="0.3">
      <c r="A10" s="45">
        <v>9</v>
      </c>
      <c r="B10" s="20" t="s">
        <v>83</v>
      </c>
      <c r="C10" s="20" t="s">
        <v>82</v>
      </c>
      <c r="D10" s="20" t="s">
        <v>81</v>
      </c>
      <c r="E10" s="20" t="s">
        <v>84</v>
      </c>
      <c r="F10" s="20">
        <v>5895</v>
      </c>
      <c r="G10" s="20" t="s">
        <v>86</v>
      </c>
      <c r="H10" s="46">
        <v>1889</v>
      </c>
    </row>
    <row r="11" spans="1:9" x14ac:dyDescent="0.3">
      <c r="A11" s="45">
        <v>10</v>
      </c>
      <c r="B11" s="20" t="s">
        <v>88</v>
      </c>
      <c r="C11" s="20" t="s">
        <v>89</v>
      </c>
      <c r="D11" s="20" t="s">
        <v>87</v>
      </c>
      <c r="E11" s="20" t="s">
        <v>84</v>
      </c>
      <c r="F11" s="20">
        <v>5642</v>
      </c>
      <c r="G11" s="20" t="s">
        <v>90</v>
      </c>
      <c r="H11" s="46">
        <v>1829</v>
      </c>
    </row>
    <row r="12" spans="1:9" x14ac:dyDescent="0.3">
      <c r="A12" s="45">
        <v>12</v>
      </c>
      <c r="B12" s="20" t="s">
        <v>96</v>
      </c>
      <c r="C12" s="20" t="s">
        <v>98</v>
      </c>
      <c r="D12" s="20" t="s">
        <v>95</v>
      </c>
      <c r="E12" s="20" t="s">
        <v>91</v>
      </c>
      <c r="F12" s="20">
        <v>4892</v>
      </c>
      <c r="G12" s="20" t="s">
        <v>97</v>
      </c>
      <c r="H12" s="46">
        <v>2311</v>
      </c>
      <c r="I12" s="50" t="s">
        <v>107</v>
      </c>
    </row>
    <row r="13" spans="1:9" x14ac:dyDescent="0.3">
      <c r="A13" s="45">
        <v>13</v>
      </c>
      <c r="B13" s="20" t="s">
        <v>100</v>
      </c>
      <c r="C13" s="20" t="s">
        <v>101</v>
      </c>
      <c r="D13" s="20" t="s">
        <v>99</v>
      </c>
      <c r="E13" s="20" t="s">
        <v>91</v>
      </c>
      <c r="F13" s="20">
        <v>4884</v>
      </c>
      <c r="G13" s="20" t="s">
        <v>102</v>
      </c>
      <c r="H13" s="46">
        <v>1962</v>
      </c>
    </row>
    <row r="14" spans="1:9" x14ac:dyDescent="0.3">
      <c r="A14" s="45">
        <v>11</v>
      </c>
      <c r="B14" s="20" t="s">
        <v>88</v>
      </c>
      <c r="C14" s="20" t="s">
        <v>93</v>
      </c>
      <c r="D14" s="20" t="s">
        <v>92</v>
      </c>
      <c r="E14" s="20" t="s">
        <v>91</v>
      </c>
      <c r="F14" s="20">
        <v>4810</v>
      </c>
      <c r="G14" s="20" t="s">
        <v>94</v>
      </c>
      <c r="H14" s="46">
        <v>1786</v>
      </c>
    </row>
    <row r="15" spans="1:9" x14ac:dyDescent="0.3">
      <c r="A15" s="45">
        <v>15</v>
      </c>
      <c r="B15" s="20" t="s">
        <v>88</v>
      </c>
      <c r="C15" s="20" t="s">
        <v>106</v>
      </c>
      <c r="D15" s="20" t="s">
        <v>103</v>
      </c>
      <c r="E15" s="20" t="s">
        <v>91</v>
      </c>
      <c r="F15" s="20">
        <v>4158</v>
      </c>
      <c r="G15" s="20" t="s">
        <v>109</v>
      </c>
      <c r="H15" s="46">
        <v>1811</v>
      </c>
    </row>
    <row r="16" spans="1:9" ht="15" thickBot="1" x14ac:dyDescent="0.35">
      <c r="A16" s="47">
        <v>14</v>
      </c>
      <c r="B16" s="48" t="s">
        <v>88</v>
      </c>
      <c r="C16" s="48" t="s">
        <v>106</v>
      </c>
      <c r="D16" s="48" t="s">
        <v>105</v>
      </c>
      <c r="E16" s="48" t="s">
        <v>104</v>
      </c>
      <c r="F16" s="48">
        <v>3970</v>
      </c>
      <c r="G16" s="48" t="s">
        <v>108</v>
      </c>
      <c r="H16" s="49">
        <v>1858</v>
      </c>
    </row>
  </sheetData>
  <autoFilter ref="A1:I16" xr:uid="{275F4E8C-DB70-4E05-A2D7-BDE10622C907}"/>
  <sortState xmlns:xlrd2="http://schemas.microsoft.com/office/spreadsheetml/2017/richdata2" ref="A2:I16">
    <sortCondition descending="1" ref="F1"/>
  </sortState>
  <dataValidations count="3">
    <dataValidation type="whole" allowBlank="1" showInputMessage="1" showErrorMessage="1" errorTitle="Ошибка ввода" error="Введите число от 1 до 15" promptTitle="Введите номер" prompt="Можно ввести от 1 до 15" sqref="A2:A16" xr:uid="{768F3BD7-81E3-427B-B588-6647D7B512F1}">
      <formula1>1</formula1>
      <formula2>15</formula2>
    </dataValidation>
    <dataValidation type="textLength" allowBlank="1" showInputMessage="1" showErrorMessage="1" errorTitle="Ошибка ввода" error="Введите название группы горы, к которой она относится, в зависимоти от ее высоты." promptTitle="Введите группу горы" prompt="Введите название группы горы, к которой она относится, в зависимоти от ее высоты." sqref="E2:E16" xr:uid="{ECDAA1E5-11BD-45CB-9C6B-CC85E47E2C69}">
      <formula1>13</formula1>
      <formula2>16</formula2>
    </dataValidation>
    <dataValidation type="whole" allowBlank="1" showInputMessage="1" showErrorMessage="1" errorTitle="Ошибка ввода" error="Введите число от 1800 до 2400" promptTitle="Введите год восхождения" prompt="Введите число от 1800 до 2400" sqref="H2:H16" xr:uid="{E4D77C09-9EB3-4168-9F81-2457D2AD6E0B}">
      <formula1>1800</formula1>
      <formula2>2400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2B0F4-4B71-4E4F-9401-A61635ECC3C6}">
  <sheetPr codeName="Лист8"/>
  <dimension ref="A1:C14"/>
  <sheetViews>
    <sheetView tabSelected="1" workbookViewId="0">
      <selection activeCell="C11" sqref="C11"/>
    </sheetView>
  </sheetViews>
  <sheetFormatPr defaultRowHeight="14.4" x14ac:dyDescent="0.3"/>
  <cols>
    <col min="1" max="1" width="24.44140625" bestFit="1" customWidth="1"/>
    <col min="2" max="2" width="14.21875" bestFit="1" customWidth="1"/>
    <col min="3" max="3" width="13.77734375" bestFit="1" customWidth="1"/>
  </cols>
  <sheetData>
    <row r="1" spans="1:3" x14ac:dyDescent="0.3">
      <c r="A1" t="s">
        <v>110</v>
      </c>
    </row>
    <row r="2" spans="1:3" x14ac:dyDescent="0.3">
      <c r="A2" s="51" t="s">
        <v>111</v>
      </c>
      <c r="B2" s="51" t="s">
        <v>112</v>
      </c>
      <c r="C2" s="51" t="s">
        <v>113</v>
      </c>
    </row>
    <row r="3" spans="1:3" x14ac:dyDescent="0.3">
      <c r="A3" s="20" t="s">
        <v>114</v>
      </c>
      <c r="B3" s="20">
        <v>6</v>
      </c>
      <c r="C3" s="55" t="str">
        <f>IFERROR(B3*VLOOKUP(ВПР1!A3,ВПР2!$A$3:$B$13,2,FALSE),"Нет на рынке")</f>
        <v>Нет на рынке</v>
      </c>
    </row>
    <row r="4" spans="1:3" x14ac:dyDescent="0.3">
      <c r="A4" s="20" t="s">
        <v>115</v>
      </c>
      <c r="B4" s="20">
        <v>2</v>
      </c>
      <c r="C4" s="56">
        <f>IFERROR(B4*VLOOKUP(ВПР1!A4,ВПР2!$A$3:$B$13,2,FALSE),"Нет на рынке")</f>
        <v>310</v>
      </c>
    </row>
    <row r="5" spans="1:3" x14ac:dyDescent="0.3">
      <c r="A5" s="20" t="s">
        <v>116</v>
      </c>
      <c r="B5" s="20">
        <v>1</v>
      </c>
      <c r="C5" s="55" t="str">
        <f>IFERROR(B5*VLOOKUP(ВПР1!A5,ВПР2!$A$3:$B$13,2,FALSE),"Нет на рынке")</f>
        <v>Нет на рынке</v>
      </c>
    </row>
    <row r="6" spans="1:3" x14ac:dyDescent="0.3">
      <c r="A6" s="20" t="s">
        <v>117</v>
      </c>
      <c r="B6" s="20">
        <v>4</v>
      </c>
      <c r="C6" s="56">
        <f>IFERROR(B6*VLOOKUP(ВПР1!A6,ВПР2!$A$3:$B$13,2,FALSE),"Нет на рынке")</f>
        <v>184</v>
      </c>
    </row>
    <row r="7" spans="1:3" x14ac:dyDescent="0.3">
      <c r="A7" s="20" t="s">
        <v>118</v>
      </c>
      <c r="B7" s="20">
        <v>2</v>
      </c>
      <c r="C7" s="56">
        <f>IFERROR(B7*VLOOKUP(ВПР1!A7,ВПР2!$A$3:$B$13,2,FALSE),"Нет на рынке")</f>
        <v>52</v>
      </c>
    </row>
    <row r="8" spans="1:3" x14ac:dyDescent="0.3">
      <c r="A8" s="20" t="s">
        <v>119</v>
      </c>
      <c r="B8" s="20">
        <v>5</v>
      </c>
      <c r="C8" s="56">
        <f>IFERROR(B8*VLOOKUP(ВПР1!A8,ВПР2!$A$3:$B$13,2,FALSE),"Нет на рынке")</f>
        <v>5000</v>
      </c>
    </row>
    <row r="9" spans="1:3" x14ac:dyDescent="0.3">
      <c r="A9" s="20" t="s">
        <v>120</v>
      </c>
      <c r="B9" s="20">
        <v>3</v>
      </c>
      <c r="C9" s="56">
        <f>IFERROR(B9*VLOOKUP(ВПР1!A9,ВПР2!$A$3:$B$13,2,FALSE),"Нет на рынке")</f>
        <v>21</v>
      </c>
    </row>
    <row r="10" spans="1:3" x14ac:dyDescent="0.3">
      <c r="A10" s="20" t="s">
        <v>121</v>
      </c>
      <c r="B10" s="20">
        <v>9</v>
      </c>
      <c r="C10" s="56">
        <f>IFERROR(B10*VLOOKUP(ВПР1!A10,ВПР2!$A$3:$B$13,2,FALSE),"Нет на рынке")</f>
        <v>58.5</v>
      </c>
    </row>
    <row r="11" spans="1:3" x14ac:dyDescent="0.3">
      <c r="A11" s="20" t="s">
        <v>122</v>
      </c>
      <c r="B11" s="20">
        <v>7</v>
      </c>
      <c r="C11" s="55" t="str">
        <f>IFERROR(B11*VLOOKUP(ВПР1!A11,ВПР2!$A$3:$B$13,2,FALSE),"Нет на рынке")</f>
        <v>Нет на рынке</v>
      </c>
    </row>
    <row r="12" spans="1:3" x14ac:dyDescent="0.3">
      <c r="A12" s="20" t="s">
        <v>123</v>
      </c>
      <c r="B12" s="20">
        <v>2</v>
      </c>
      <c r="C12" s="56">
        <f>IFERROR(B12*VLOOKUP(ВПР1!A12,ВПР2!$A$3:$B$13,2,FALSE),"Нет на рынке")</f>
        <v>1000</v>
      </c>
    </row>
    <row r="13" spans="1:3" x14ac:dyDescent="0.3">
      <c r="A13" s="20" t="s">
        <v>124</v>
      </c>
      <c r="B13" s="20">
        <v>1</v>
      </c>
      <c r="C13" s="56">
        <f>IFERROR(B13*VLOOKUP(ВПР1!A13,ВПР2!$A$3:$B$13,2,FALSE),"Нет на рынке")</f>
        <v>19</v>
      </c>
    </row>
    <row r="14" spans="1:3" x14ac:dyDescent="0.3">
      <c r="B14" s="39" t="s">
        <v>125</v>
      </c>
      <c r="C14" s="52">
        <f>SUM(C3:C13)</f>
        <v>6644.5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DC119-8AAA-437D-AED2-10E183A07DFD}">
  <sheetPr codeName="Лист9"/>
  <dimension ref="A1:B13"/>
  <sheetViews>
    <sheetView workbookViewId="0">
      <selection activeCell="A5" sqref="A5"/>
    </sheetView>
  </sheetViews>
  <sheetFormatPr defaultRowHeight="14.4" x14ac:dyDescent="0.3"/>
  <cols>
    <col min="1" max="1" width="23.44140625" bestFit="1" customWidth="1"/>
    <col min="2" max="2" width="10.33203125" bestFit="1" customWidth="1"/>
  </cols>
  <sheetData>
    <row r="1" spans="1:2" x14ac:dyDescent="0.3">
      <c r="A1" t="s">
        <v>126</v>
      </c>
    </row>
    <row r="2" spans="1:2" x14ac:dyDescent="0.3">
      <c r="A2" s="51" t="s">
        <v>111</v>
      </c>
      <c r="B2" s="51" t="s">
        <v>127</v>
      </c>
    </row>
    <row r="3" spans="1:2" x14ac:dyDescent="0.3">
      <c r="A3" s="20" t="s">
        <v>115</v>
      </c>
      <c r="B3" s="20">
        <v>155</v>
      </c>
    </row>
    <row r="4" spans="1:2" x14ac:dyDescent="0.3">
      <c r="A4" s="20" t="s">
        <v>118</v>
      </c>
      <c r="B4" s="20">
        <v>26</v>
      </c>
    </row>
    <row r="5" spans="1:2" x14ac:dyDescent="0.3">
      <c r="A5" s="20" t="s">
        <v>119</v>
      </c>
      <c r="B5" s="20">
        <v>1000</v>
      </c>
    </row>
    <row r="6" spans="1:2" x14ac:dyDescent="0.3">
      <c r="A6" s="20" t="s">
        <v>120</v>
      </c>
      <c r="B6" s="20">
        <v>7</v>
      </c>
    </row>
    <row r="7" spans="1:2" x14ac:dyDescent="0.3">
      <c r="A7" s="53" t="s">
        <v>128</v>
      </c>
      <c r="B7" s="54">
        <v>1.5</v>
      </c>
    </row>
    <row r="8" spans="1:2" x14ac:dyDescent="0.3">
      <c r="A8" s="20" t="s">
        <v>123</v>
      </c>
      <c r="B8" s="20">
        <v>500</v>
      </c>
    </row>
    <row r="9" spans="1:2" x14ac:dyDescent="0.3">
      <c r="A9" s="20" t="s">
        <v>129</v>
      </c>
      <c r="B9" s="20">
        <v>450</v>
      </c>
    </row>
    <row r="10" spans="1:2" x14ac:dyDescent="0.3">
      <c r="A10" s="20" t="s">
        <v>130</v>
      </c>
      <c r="B10" s="20">
        <v>53</v>
      </c>
    </row>
    <row r="11" spans="1:2" x14ac:dyDescent="0.3">
      <c r="A11" s="20" t="s">
        <v>124</v>
      </c>
      <c r="B11" s="20">
        <v>19</v>
      </c>
    </row>
    <row r="12" spans="1:2" x14ac:dyDescent="0.3">
      <c r="A12" s="20" t="s">
        <v>117</v>
      </c>
      <c r="B12" s="33">
        <v>46</v>
      </c>
    </row>
    <row r="13" spans="1:2" x14ac:dyDescent="0.3">
      <c r="A13" s="20" t="s">
        <v>121</v>
      </c>
      <c r="B13" s="33">
        <v>6.5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D4E59-0BB8-44B5-B32B-65EF952BD1D1}">
  <sheetPr codeName="Лист10"/>
  <dimension ref="A2:E9"/>
  <sheetViews>
    <sheetView workbookViewId="0">
      <selection activeCell="H15" sqref="H15"/>
    </sheetView>
  </sheetViews>
  <sheetFormatPr defaultRowHeight="14.4" x14ac:dyDescent="0.3"/>
  <cols>
    <col min="1" max="1" width="10.109375" bestFit="1" customWidth="1"/>
    <col min="3" max="4" width="10.3320312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1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43743</v>
      </c>
      <c r="B6" s="60">
        <v>0.41666666666666669</v>
      </c>
      <c r="C6" s="59" t="s">
        <v>138</v>
      </c>
      <c r="D6" s="59" t="s">
        <v>142</v>
      </c>
      <c r="E6" s="59"/>
    </row>
    <row r="7" spans="1:5" ht="15" thickBot="1" x14ac:dyDescent="0.35">
      <c r="A7" s="61">
        <v>43743</v>
      </c>
      <c r="B7" s="60">
        <v>0.5</v>
      </c>
      <c r="C7" s="59" t="s">
        <v>139</v>
      </c>
      <c r="D7" s="59" t="s">
        <v>143</v>
      </c>
      <c r="E7" s="59"/>
    </row>
    <row r="8" spans="1:5" ht="15" thickBot="1" x14ac:dyDescent="0.35">
      <c r="A8" s="61">
        <v>43744</v>
      </c>
      <c r="B8" s="60">
        <v>0.41666666666666669</v>
      </c>
      <c r="C8" s="59" t="s">
        <v>140</v>
      </c>
      <c r="D8" s="59" t="s">
        <v>144</v>
      </c>
      <c r="E8" s="59"/>
    </row>
    <row r="9" spans="1:5" ht="15" thickBot="1" x14ac:dyDescent="0.35">
      <c r="A9" s="61">
        <v>43744</v>
      </c>
      <c r="B9" s="60">
        <v>0.5</v>
      </c>
      <c r="C9" s="59" t="s">
        <v>141</v>
      </c>
      <c r="D9" s="59" t="s">
        <v>145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FC61-587C-477A-A779-2E429BEC70B7}">
  <sheetPr codeName="Лист11"/>
  <dimension ref="A2:E9"/>
  <sheetViews>
    <sheetView workbookViewId="0">
      <selection activeCell="A6" sqref="A6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2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43750</v>
      </c>
      <c r="B6" s="60">
        <v>0.41666666666666669</v>
      </c>
      <c r="C6" s="59" t="s">
        <v>138</v>
      </c>
      <c r="D6" s="59" t="s">
        <v>143</v>
      </c>
      <c r="E6" s="59"/>
    </row>
    <row r="7" spans="1:5" ht="15" thickBot="1" x14ac:dyDescent="0.35">
      <c r="A7" s="61">
        <v>43750</v>
      </c>
      <c r="B7" s="60">
        <v>0.5</v>
      </c>
      <c r="C7" s="59" t="s">
        <v>139</v>
      </c>
      <c r="D7" s="59" t="s">
        <v>144</v>
      </c>
      <c r="E7" s="59"/>
    </row>
    <row r="8" spans="1:5" ht="15" thickBot="1" x14ac:dyDescent="0.35">
      <c r="A8" s="61">
        <v>43751</v>
      </c>
      <c r="B8" s="60">
        <v>0.41666666666666669</v>
      </c>
      <c r="C8" s="59" t="s">
        <v>140</v>
      </c>
      <c r="D8" s="59" t="s">
        <v>145</v>
      </c>
      <c r="E8" s="59"/>
    </row>
    <row r="9" spans="1:5" ht="15" thickBot="1" x14ac:dyDescent="0.35">
      <c r="A9" s="61">
        <v>43751</v>
      </c>
      <c r="B9" s="60">
        <v>0.5</v>
      </c>
      <c r="C9" s="59" t="s">
        <v>141</v>
      </c>
      <c r="D9" s="59" t="s">
        <v>142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D2CB-7E9A-4BAE-BC95-AD087A78F692}">
  <sheetPr codeName="Лист12"/>
  <dimension ref="A2:E9"/>
  <sheetViews>
    <sheetView workbookViewId="0">
      <selection activeCell="G31" sqref="G31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3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43757</v>
      </c>
      <c r="B6" s="60">
        <v>0.41666666666666669</v>
      </c>
      <c r="C6" s="59" t="s">
        <v>138</v>
      </c>
      <c r="D6" s="59" t="s">
        <v>144</v>
      </c>
      <c r="E6" s="59"/>
    </row>
    <row r="7" spans="1:5" ht="15" thickBot="1" x14ac:dyDescent="0.35">
      <c r="A7" s="61">
        <v>43757</v>
      </c>
      <c r="B7" s="60">
        <v>0.5</v>
      </c>
      <c r="C7" s="59" t="s">
        <v>139</v>
      </c>
      <c r="D7" s="59" t="s">
        <v>145</v>
      </c>
      <c r="E7" s="59"/>
    </row>
    <row r="8" spans="1:5" ht="15" thickBot="1" x14ac:dyDescent="0.35">
      <c r="A8" s="61">
        <v>43758</v>
      </c>
      <c r="B8" s="60">
        <v>0.41666666666666669</v>
      </c>
      <c r="C8" s="59" t="s">
        <v>140</v>
      </c>
      <c r="D8" s="59" t="s">
        <v>142</v>
      </c>
      <c r="E8" s="59"/>
    </row>
    <row r="9" spans="1:5" ht="15" thickBot="1" x14ac:dyDescent="0.35">
      <c r="A9" s="61">
        <v>43758</v>
      </c>
      <c r="B9" s="60">
        <v>0.5</v>
      </c>
      <c r="C9" s="59" t="s">
        <v>141</v>
      </c>
      <c r="D9" s="59" t="s">
        <v>143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024FF-49ED-4762-8A17-6F367140B106}">
  <sheetPr codeName="Лист13"/>
  <dimension ref="A2:E9"/>
  <sheetViews>
    <sheetView workbookViewId="0">
      <selection activeCell="A8" sqref="A8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4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43764</v>
      </c>
      <c r="B6" s="60">
        <v>0.41666666666666669</v>
      </c>
      <c r="C6" s="59" t="s">
        <v>138</v>
      </c>
      <c r="D6" s="59" t="s">
        <v>145</v>
      </c>
      <c r="E6" s="59"/>
    </row>
    <row r="7" spans="1:5" ht="15" thickBot="1" x14ac:dyDescent="0.35">
      <c r="A7" s="61">
        <v>43764</v>
      </c>
      <c r="B7" s="60">
        <v>0.5</v>
      </c>
      <c r="C7" s="59" t="s">
        <v>139</v>
      </c>
      <c r="D7" s="59" t="s">
        <v>142</v>
      </c>
      <c r="E7" s="59"/>
    </row>
    <row r="8" spans="1:5" ht="15" thickBot="1" x14ac:dyDescent="0.35">
      <c r="A8" s="61">
        <v>43765</v>
      </c>
      <c r="B8" s="60">
        <v>0.41666666666666669</v>
      </c>
      <c r="C8" s="59" t="s">
        <v>140</v>
      </c>
      <c r="D8" s="59" t="s">
        <v>143</v>
      </c>
      <c r="E8" s="59"/>
    </row>
    <row r="9" spans="1:5" ht="15" thickBot="1" x14ac:dyDescent="0.35">
      <c r="A9" s="61">
        <v>43765</v>
      </c>
      <c r="B9" s="60">
        <v>0.5</v>
      </c>
      <c r="C9" s="59" t="s">
        <v>141</v>
      </c>
      <c r="D9" s="59" t="s">
        <v>144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86D04-FB39-444C-BCC5-A2A79C15CCD2}">
  <sheetPr codeName="Лист14"/>
  <dimension ref="A2:E9"/>
  <sheetViews>
    <sheetView workbookViewId="0">
      <selection activeCell="A6" sqref="A6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5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43771</v>
      </c>
      <c r="B6" s="60">
        <v>0.41666666666666669</v>
      </c>
      <c r="C6" s="59" t="s">
        <v>138</v>
      </c>
      <c r="D6" s="59" t="s">
        <v>139</v>
      </c>
      <c r="E6" s="59"/>
    </row>
    <row r="7" spans="1:5" ht="15" thickBot="1" x14ac:dyDescent="0.35">
      <c r="A7" s="61">
        <v>43771</v>
      </c>
      <c r="B7" s="60">
        <v>0.5</v>
      </c>
      <c r="C7" s="59" t="s">
        <v>140</v>
      </c>
      <c r="D7" s="59" t="s">
        <v>141</v>
      </c>
      <c r="E7" s="59"/>
    </row>
    <row r="8" spans="1:5" ht="15" thickBot="1" x14ac:dyDescent="0.35">
      <c r="A8" s="61">
        <v>43772</v>
      </c>
      <c r="B8" s="60">
        <v>0.41666666666666669</v>
      </c>
      <c r="C8" s="59" t="s">
        <v>142</v>
      </c>
      <c r="D8" s="59" t="s">
        <v>143</v>
      </c>
      <c r="E8" s="59"/>
    </row>
    <row r="9" spans="1:5" ht="15" thickBot="1" x14ac:dyDescent="0.35">
      <c r="A9" s="61">
        <v>43772</v>
      </c>
      <c r="B9" s="60">
        <v>0.5</v>
      </c>
      <c r="C9" s="59" t="s">
        <v>144</v>
      </c>
      <c r="D9" s="59" t="s">
        <v>145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B96C-A3CC-4510-BC4F-B9E289FFB3E8}">
  <sheetPr codeName="Лист15"/>
  <dimension ref="A2:E9"/>
  <sheetViews>
    <sheetView workbookViewId="0">
      <selection activeCell="C5" sqref="C5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6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43778</v>
      </c>
      <c r="B6" s="60">
        <v>0.41666666666666669</v>
      </c>
      <c r="C6" s="59" t="s">
        <v>138</v>
      </c>
      <c r="D6" s="59" t="s">
        <v>140</v>
      </c>
      <c r="E6" s="59"/>
    </row>
    <row r="7" spans="1:5" ht="15" thickBot="1" x14ac:dyDescent="0.35">
      <c r="A7" s="61">
        <v>43778</v>
      </c>
      <c r="B7" s="60">
        <v>0.5</v>
      </c>
      <c r="C7" s="59" t="s">
        <v>139</v>
      </c>
      <c r="D7" s="59" t="s">
        <v>141</v>
      </c>
      <c r="E7" s="59"/>
    </row>
    <row r="8" spans="1:5" ht="15" thickBot="1" x14ac:dyDescent="0.35">
      <c r="A8" s="61">
        <v>43779</v>
      </c>
      <c r="B8" s="60">
        <v>0.41666666666666669</v>
      </c>
      <c r="C8" s="59" t="s">
        <v>142</v>
      </c>
      <c r="D8" s="59" t="s">
        <v>144</v>
      </c>
      <c r="E8" s="59"/>
    </row>
    <row r="9" spans="1:5" ht="15" thickBot="1" x14ac:dyDescent="0.35">
      <c r="A9" s="61">
        <v>43779</v>
      </c>
      <c r="B9" s="60">
        <v>0.5</v>
      </c>
      <c r="C9" s="59" t="s">
        <v>143</v>
      </c>
      <c r="D9" s="59" t="s">
        <v>145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AE693-60CB-4307-AE68-6F4677F1113F}">
  <sheetPr codeName="Лист16"/>
  <dimension ref="A2:E9"/>
  <sheetViews>
    <sheetView workbookViewId="0">
      <selection activeCell="J20" sqref="J20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2" spans="1:5" x14ac:dyDescent="0.3">
      <c r="A2" s="78" t="s">
        <v>131</v>
      </c>
      <c r="B2" s="78"/>
      <c r="C2" s="78"/>
      <c r="D2" s="28">
        <v>43743</v>
      </c>
    </row>
    <row r="3" spans="1:5" ht="15" thickBot="1" x14ac:dyDescent="0.35"/>
    <row r="4" spans="1:5" ht="15" thickBot="1" x14ac:dyDescent="0.35">
      <c r="A4" s="89" t="s">
        <v>132</v>
      </c>
      <c r="B4" s="90"/>
      <c r="C4" s="59">
        <v>7</v>
      </c>
    </row>
    <row r="5" spans="1:5" ht="15" thickBot="1" x14ac:dyDescent="0.35">
      <c r="A5" s="57" t="s">
        <v>133</v>
      </c>
      <c r="B5" s="58" t="s">
        <v>134</v>
      </c>
      <c r="C5" s="59" t="s">
        <v>135</v>
      </c>
      <c r="D5" s="59" t="s">
        <v>136</v>
      </c>
      <c r="E5" s="57" t="s">
        <v>137</v>
      </c>
    </row>
    <row r="6" spans="1:5" ht="15" thickBot="1" x14ac:dyDescent="0.35">
      <c r="A6" s="61">
        <v>43785</v>
      </c>
      <c r="B6" s="60">
        <v>0.41666666666666669</v>
      </c>
      <c r="C6" s="59" t="s">
        <v>138</v>
      </c>
      <c r="D6" s="59" t="s">
        <v>141</v>
      </c>
      <c r="E6" s="59"/>
    </row>
    <row r="7" spans="1:5" ht="15" thickBot="1" x14ac:dyDescent="0.35">
      <c r="A7" s="61">
        <v>43785</v>
      </c>
      <c r="B7" s="60">
        <v>0.5</v>
      </c>
      <c r="C7" s="59" t="s">
        <v>139</v>
      </c>
      <c r="D7" s="59" t="s">
        <v>142</v>
      </c>
      <c r="E7" s="59"/>
    </row>
    <row r="8" spans="1:5" ht="15" thickBot="1" x14ac:dyDescent="0.35">
      <c r="A8" s="61">
        <v>43786</v>
      </c>
      <c r="B8" s="60">
        <v>0.41666666666666669</v>
      </c>
      <c r="C8" s="59" t="s">
        <v>140</v>
      </c>
      <c r="D8" s="59" t="s">
        <v>143</v>
      </c>
      <c r="E8" s="59"/>
    </row>
    <row r="9" spans="1:5" ht="15" thickBot="1" x14ac:dyDescent="0.35">
      <c r="A9" s="61">
        <v>43786</v>
      </c>
      <c r="B9" s="60">
        <v>0.5</v>
      </c>
      <c r="C9" s="59" t="s">
        <v>145</v>
      </c>
      <c r="D9" s="59" t="s">
        <v>144</v>
      </c>
      <c r="E9" s="59"/>
    </row>
  </sheetData>
  <mergeCells count="2">
    <mergeCell ref="A2:C2"/>
    <mergeCell ref="A4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Диаграммы</vt:lpstr>
      </vt:variant>
      <vt:variant>
        <vt:i4>2</vt:i4>
      </vt:variant>
    </vt:vector>
  </HeadingPairs>
  <TitlesOfParts>
    <vt:vector size="16" baseType="lpstr">
      <vt:lpstr>Формула</vt:lpstr>
      <vt:lpstr>Справочник предприятия</vt:lpstr>
      <vt:lpstr>Расчёт сметы</vt:lpstr>
      <vt:lpstr>Диаграмма</vt:lpstr>
      <vt:lpstr>Горные пики</vt:lpstr>
      <vt:lpstr>ВПР1</vt:lpstr>
      <vt:lpstr>ВПР2</vt:lpstr>
      <vt:lpstr>МАКРОС1</vt:lpstr>
      <vt:lpstr>МАКРОС2</vt:lpstr>
      <vt:lpstr>МАКРОС3</vt:lpstr>
      <vt:lpstr>МАКРОС4</vt:lpstr>
      <vt:lpstr>МАКРОС5</vt:lpstr>
      <vt:lpstr>МАКРОС6</vt:lpstr>
      <vt:lpstr>МАКРОС7</vt:lpstr>
      <vt:lpstr>Диаграмма1</vt:lpstr>
      <vt:lpstr>Диаграмма2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Кулинич</dc:creator>
  <cp:lastModifiedBy>Ярослав Кулинич</cp:lastModifiedBy>
  <dcterms:created xsi:type="dcterms:W3CDTF">2015-06-05T18:19:34Z</dcterms:created>
  <dcterms:modified xsi:type="dcterms:W3CDTF">2019-11-24T09:58:21Z</dcterms:modified>
</cp:coreProperties>
</file>